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HRA_product\V9968_Cartridge\labo\HDMI_out\src\sound\"/>
    </mc:Choice>
  </mc:AlternateContent>
  <xr:revisionPtr revIDLastSave="0" documentId="13_ncr:1_{DAF8DDDC-C2CE-47FD-8D3E-D1001C2366C3}" xr6:coauthVersionLast="47" xr6:coauthVersionMax="47" xr10:uidLastSave="{00000000-0000-0000-0000-000000000000}"/>
  <bookViews>
    <workbookView xWindow="-120" yWindow="-120" windowWidth="29040" windowHeight="15720" xr2:uid="{E1EC9688-D777-44B0-B844-E9E25E0C99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15" i="1"/>
  <c r="D16" i="1"/>
  <c r="D17" i="1"/>
  <c r="D18" i="1"/>
  <c r="D6" i="1"/>
  <c r="B18" i="1"/>
  <c r="B17" i="1"/>
  <c r="B16" i="1"/>
  <c r="B15" i="1"/>
  <c r="B14" i="1"/>
  <c r="B13" i="1"/>
  <c r="B12" i="1"/>
  <c r="B11" i="1"/>
  <c r="B10" i="1"/>
  <c r="B9" i="1"/>
  <c r="B8" i="1"/>
  <c r="B7" i="1"/>
  <c r="F2" i="1"/>
  <c r="B4" i="1"/>
</calcChain>
</file>

<file path=xl/sharedStrings.xml><?xml version="1.0" encoding="utf-8"?>
<sst xmlns="http://schemas.openxmlformats.org/spreadsheetml/2006/main" count="38" uniqueCount="17">
  <si>
    <t>Hz</t>
    <phoneticPr fontId="1"/>
  </si>
  <si>
    <t>2^(1/12)</t>
    <phoneticPr fontId="1"/>
  </si>
  <si>
    <t>A3</t>
    <phoneticPr fontId="1"/>
  </si>
  <si>
    <t>A#3</t>
    <phoneticPr fontId="1"/>
  </si>
  <si>
    <t>B3</t>
    <phoneticPr fontId="1"/>
  </si>
  <si>
    <t>D4</t>
    <phoneticPr fontId="1"/>
  </si>
  <si>
    <t>C4</t>
    <phoneticPr fontId="1"/>
  </si>
  <si>
    <t>C#4</t>
    <phoneticPr fontId="1"/>
  </si>
  <si>
    <t>D#4</t>
    <phoneticPr fontId="1"/>
  </si>
  <si>
    <t>E4</t>
    <phoneticPr fontId="1"/>
  </si>
  <si>
    <t>F4</t>
    <phoneticPr fontId="1"/>
  </si>
  <si>
    <t>F#4</t>
    <phoneticPr fontId="1"/>
  </si>
  <si>
    <t>G4</t>
    <phoneticPr fontId="1"/>
  </si>
  <si>
    <t>G#4</t>
    <phoneticPr fontId="1"/>
  </si>
  <si>
    <t>A4</t>
    <phoneticPr fontId="1"/>
  </si>
  <si>
    <t>★</t>
    <phoneticPr fontId="1"/>
  </si>
  <si>
    <t>tone_state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</si>
</sst>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F9CF-0C97-46F8-91CF-54661CED0116}">
  <dimension ref="A2:F18"/>
  <sheetViews>
    <sheetView tabSelected="1" workbookViewId="0">
      <selection activeCell="F20" sqref="F20"/>
    </sheetView>
  </sheetViews>
  <sheetFormatPr defaultRowHeight="18.75" x14ac:dyDescent="0.4"/>
  <cols>
    <col min="2" max="2" width="9.5" bestFit="1" customWidth="1"/>
  </cols>
  <sheetData>
    <row r="2" spans="1:6" x14ac:dyDescent="0.4">
      <c r="B2">
        <v>27000000</v>
      </c>
      <c r="C2" t="s">
        <v>0</v>
      </c>
      <c r="E2" t="s">
        <v>1</v>
      </c>
      <c r="F2">
        <f>POWER(2,1/12)</f>
        <v>1.0594630943592953</v>
      </c>
    </row>
    <row r="3" spans="1:6" x14ac:dyDescent="0.4">
      <c r="B3">
        <v>48000</v>
      </c>
      <c r="C3" t="s">
        <v>0</v>
      </c>
    </row>
    <row r="4" spans="1:6" x14ac:dyDescent="0.4">
      <c r="B4">
        <f>B2/B3</f>
        <v>562.5</v>
      </c>
    </row>
    <row r="5" spans="1:6" x14ac:dyDescent="0.4">
      <c r="F5" t="s">
        <v>16</v>
      </c>
    </row>
    <row r="6" spans="1:6" x14ac:dyDescent="0.4">
      <c r="A6" t="s">
        <v>2</v>
      </c>
      <c r="B6">
        <v>220</v>
      </c>
      <c r="C6" t="s">
        <v>0</v>
      </c>
      <c r="D6">
        <f>INT(B6/2)-1</f>
        <v>109</v>
      </c>
      <c r="E6" t="s">
        <v>15</v>
      </c>
      <c r="F6">
        <v>0</v>
      </c>
    </row>
    <row r="7" spans="1:6" x14ac:dyDescent="0.4">
      <c r="A7" t="s">
        <v>3</v>
      </c>
      <c r="B7">
        <f>B6*$F$2</f>
        <v>233.08188075904496</v>
      </c>
      <c r="C7" t="s">
        <v>0</v>
      </c>
      <c r="D7">
        <f t="shared" ref="D7:D18" si="0">INT(B7/2)-1</f>
        <v>115</v>
      </c>
    </row>
    <row r="8" spans="1:6" x14ac:dyDescent="0.4">
      <c r="A8" t="s">
        <v>4</v>
      </c>
      <c r="B8">
        <f>B7*$F$2</f>
        <v>246.94165062806206</v>
      </c>
      <c r="C8" t="s">
        <v>0</v>
      </c>
      <c r="D8">
        <f t="shared" si="0"/>
        <v>122</v>
      </c>
      <c r="E8" t="s">
        <v>15</v>
      </c>
      <c r="F8">
        <v>1</v>
      </c>
    </row>
    <row r="9" spans="1:6" x14ac:dyDescent="0.4">
      <c r="A9" t="s">
        <v>6</v>
      </c>
      <c r="B9">
        <f>B8*$F$2</f>
        <v>261.62556530059868</v>
      </c>
      <c r="C9" t="s">
        <v>0</v>
      </c>
      <c r="D9">
        <f t="shared" si="0"/>
        <v>129</v>
      </c>
      <c r="E9" t="s">
        <v>15</v>
      </c>
      <c r="F9">
        <v>2</v>
      </c>
    </row>
    <row r="10" spans="1:6" x14ac:dyDescent="0.4">
      <c r="A10" t="s">
        <v>7</v>
      </c>
      <c r="B10">
        <f>B9*$F$2</f>
        <v>277.18263097687213</v>
      </c>
      <c r="C10" t="s">
        <v>0</v>
      </c>
      <c r="D10">
        <f t="shared" si="0"/>
        <v>137</v>
      </c>
    </row>
    <row r="11" spans="1:6" x14ac:dyDescent="0.4">
      <c r="A11" t="s">
        <v>5</v>
      </c>
      <c r="B11">
        <f>B10*$F$2</f>
        <v>293.66476791740763</v>
      </c>
      <c r="C11" t="s">
        <v>0</v>
      </c>
      <c r="D11">
        <f t="shared" si="0"/>
        <v>145</v>
      </c>
      <c r="E11" t="s">
        <v>15</v>
      </c>
      <c r="F11">
        <v>3</v>
      </c>
    </row>
    <row r="12" spans="1:6" x14ac:dyDescent="0.4">
      <c r="A12" t="s">
        <v>8</v>
      </c>
      <c r="B12">
        <f>B11*$F$2</f>
        <v>311.12698372208098</v>
      </c>
      <c r="C12" t="s">
        <v>0</v>
      </c>
      <c r="D12">
        <f t="shared" si="0"/>
        <v>154</v>
      </c>
    </row>
    <row r="13" spans="1:6" x14ac:dyDescent="0.4">
      <c r="A13" t="s">
        <v>9</v>
      </c>
      <c r="B13">
        <f>B12*$F$2</f>
        <v>329.62755691287003</v>
      </c>
      <c r="C13" t="s">
        <v>0</v>
      </c>
      <c r="D13">
        <f t="shared" si="0"/>
        <v>163</v>
      </c>
      <c r="E13" t="s">
        <v>15</v>
      </c>
      <c r="F13">
        <v>4</v>
      </c>
    </row>
    <row r="14" spans="1:6" x14ac:dyDescent="0.4">
      <c r="A14" t="s">
        <v>10</v>
      </c>
      <c r="B14">
        <f>B13*$F$2</f>
        <v>349.228231433004</v>
      </c>
      <c r="C14" t="s">
        <v>0</v>
      </c>
      <c r="D14">
        <f t="shared" si="0"/>
        <v>173</v>
      </c>
      <c r="E14" t="s">
        <v>15</v>
      </c>
      <c r="F14">
        <v>5</v>
      </c>
    </row>
    <row r="15" spans="1:6" x14ac:dyDescent="0.4">
      <c r="A15" t="s">
        <v>11</v>
      </c>
      <c r="B15">
        <f>B14*$F$2</f>
        <v>369.99442271163451</v>
      </c>
      <c r="C15" t="s">
        <v>0</v>
      </c>
      <c r="D15">
        <f t="shared" si="0"/>
        <v>183</v>
      </c>
    </row>
    <row r="16" spans="1:6" x14ac:dyDescent="0.4">
      <c r="A16" t="s">
        <v>12</v>
      </c>
      <c r="B16">
        <f>B15*$F$2</f>
        <v>391.99543598174944</v>
      </c>
      <c r="C16" t="s">
        <v>0</v>
      </c>
      <c r="D16">
        <f t="shared" si="0"/>
        <v>194</v>
      </c>
      <c r="E16" t="s">
        <v>15</v>
      </c>
      <c r="F16">
        <v>6</v>
      </c>
    </row>
    <row r="17" spans="1:6" x14ac:dyDescent="0.4">
      <c r="A17" t="s">
        <v>13</v>
      </c>
      <c r="B17">
        <f>B16*$F$2</f>
        <v>415.3046975799453</v>
      </c>
      <c r="C17" t="s">
        <v>0</v>
      </c>
      <c r="D17">
        <f t="shared" si="0"/>
        <v>206</v>
      </c>
    </row>
    <row r="18" spans="1:6" x14ac:dyDescent="0.4">
      <c r="A18" t="s">
        <v>14</v>
      </c>
      <c r="B18">
        <f>B17*$F$2</f>
        <v>440.00000000000017</v>
      </c>
      <c r="C18" t="s">
        <v>0</v>
      </c>
      <c r="D18">
        <f t="shared" si="0"/>
        <v>219</v>
      </c>
      <c r="E18" t="s">
        <v>15</v>
      </c>
      <c r="F18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dcterms:created xsi:type="dcterms:W3CDTF">2026-02-24T21:43:24Z</dcterms:created>
  <dcterms:modified xsi:type="dcterms:W3CDTF">2026-02-24T22:19:53Z</dcterms:modified>
</cp:coreProperties>
</file>